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<sst xmlns="http://schemas.openxmlformats.org/spreadsheetml/2006/main" count="17" uniqueCount="15">
  <si>
    <t>TimeStamp</t>
  </si>
  <si>
    <t>Amount</t>
  </si>
  <si>
    <t>Type</t>
  </si>
  <si>
    <t>Category</t>
  </si>
  <si>
    <t>Description</t>
  </si>
  <si>
    <t>2026-10-03T15:32:16.000Z</t>
  </si>
  <si>
    <t>Expense</t>
  </si>
  <si>
    <t>Shopping</t>
  </si>
  <si>
    <t>Slipper</t>
  </si>
  <si>
    <t>2026-10-03T15:32:25.000Z</t>
  </si>
  <si>
    <t>Personal</t>
  </si>
  <si>
    <t>Hair care</t>
  </si>
  <si>
    <t>2026-10-04T03:23:12.000Z</t>
  </si>
  <si>
    <t>Bills</t>
  </si>
  <si>
    <t>Mobile Recharge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</si>
</sst>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₹#,##0.00"/>
    <numFmt numFmtId="165" formatCode="dd-mmm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1.0"/>
      <color rgb="FF000000"/>
      <name val="Carlito"/>
    </font>
    <font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Transactions!$G$32:$G$61</c:f>
            </c:strRef>
          </c:cat>
          <c:val>
            <c:numRef>
              <c:f>Transactions!$H$32:$H$61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Spending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Transactions!$J$32:$J$101</c:f>
            </c:strRef>
          </c:cat>
          <c:val>
            <c:numRef>
              <c:f>Transactions!$K$32:$K$101</c:f>
              <c:numCache/>
            </c:numRef>
          </c:val>
        </c:ser>
        <c:axId val="1504513304"/>
        <c:axId val="1504292758"/>
      </c:barChart>
      <c:catAx>
        <c:axId val="1504513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292758"/>
      </c:catAx>
      <c:valAx>
        <c:axId val="1504292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51330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4953000" cy="2857500"/>
    <xdr:graphicFrame>
      <xdr:nvGraphicFramePr>
        <xdr:cNvPr id="1" name="Chart 1" title="Spending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180975</xdr:colOff>
      <xdr:row>0</xdr:row>
      <xdr:rowOff>0</xdr:rowOff>
    </xdr:from>
    <xdr:ext cx="5715000" cy="2857500"/>
    <xdr:graphicFrame>
      <xdr:nvGraphicFramePr>
        <xdr:cNvPr id="2" name="Chart 2" title="Daily Spendi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" displayName="TransactionsTable" name="TransactionsTable" id="1">
  <tableColumns count="5">
    <tableColumn name="TimeStamp" id="1"/>
    <tableColumn name="Amount" id="2"/>
    <tableColumn name="Type" id="3"/>
    <tableColumn name="Category" id="4"/>
    <tableColumn name="Description" id="5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4.0"/>
    <col customWidth="1" min="4" max="4" width="20.0"/>
    <col customWidth="1" min="5" max="5" width="28.0"/>
    <col customWidth="1" min="6" max="6" width="18.0"/>
    <col customWidth="1" min="7" max="23" width="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.0" customHeight="1">
      <c r="A2" s="2" t="s">
        <v>5</v>
      </c>
      <c r="B2" s="2">
        <v>810.0</v>
      </c>
      <c r="C2" s="3" t="s">
        <v>6</v>
      </c>
      <c r="D2" s="3" t="s">
        <v>7</v>
      </c>
      <c r="E2" s="3" t="s">
        <v>8</v>
      </c>
    </row>
    <row r="3" ht="24.0" customHeight="1">
      <c r="A3" s="2" t="s">
        <v>9</v>
      </c>
      <c r="B3" s="2">
        <v>85.0</v>
      </c>
      <c r="C3" s="3" t="s">
        <v>6</v>
      </c>
      <c r="D3" s="3" t="s">
        <v>10</v>
      </c>
      <c r="E3" s="3" t="s">
        <v>11</v>
      </c>
    </row>
    <row r="4" ht="24.0" customHeight="1">
      <c r="A4" s="2" t="s">
        <v>12</v>
      </c>
      <c r="B4" s="2">
        <v>349.0</v>
      </c>
      <c r="C4" s="3" t="s">
        <v>6</v>
      </c>
      <c r="D4" s="3" t="s">
        <v>13</v>
      </c>
      <c r="E4" s="3" t="s">
        <v>14</v>
      </c>
    </row>
    <row r="5" ht="15.75" customHeight="1">
      <c r="A5" s="4"/>
      <c r="B5" s="4"/>
      <c r="C5" s="5"/>
      <c r="D5" s="5"/>
      <c r="E5" s="5"/>
      <c r="F5" s="5"/>
    </row>
    <row r="6" ht="15.75" customHeight="1">
      <c r="A6" s="4"/>
      <c r="B6" s="4"/>
      <c r="C6" s="5"/>
      <c r="D6" s="5"/>
      <c r="E6" s="5"/>
      <c r="F6" s="5"/>
    </row>
    <row r="7" ht="15.75" customHeight="1">
      <c r="A7" s="4"/>
      <c r="B7" s="4"/>
      <c r="C7" s="5"/>
      <c r="D7" s="5"/>
      <c r="E7" s="5"/>
      <c r="F7" s="5"/>
    </row>
    <row r="8" ht="15.75" customHeight="1">
      <c r="A8" s="4"/>
      <c r="B8" s="4"/>
      <c r="C8" s="5"/>
      <c r="D8" s="5"/>
      <c r="E8" s="5"/>
      <c r="F8" s="5"/>
    </row>
    <row r="9" ht="15.75" customHeight="1">
      <c r="A9" s="4"/>
      <c r="B9" s="4"/>
      <c r="C9" s="5"/>
      <c r="D9" s="5"/>
      <c r="E9" s="5"/>
      <c r="F9" s="5"/>
    </row>
    <row r="10" ht="15.75" customHeight="1">
      <c r="A10" s="4"/>
      <c r="B10" s="4"/>
      <c r="C10" s="5"/>
      <c r="D10" s="5"/>
      <c r="E10" s="5"/>
      <c r="F10" s="5"/>
    </row>
    <row r="11" ht="15.75" customHeight="1">
      <c r="A11" s="4"/>
      <c r="B11" s="4"/>
      <c r="C11" s="5"/>
      <c r="D11" s="5"/>
      <c r="E11" s="5"/>
      <c r="F11" s="5"/>
    </row>
    <row r="12" ht="15.75" customHeight="1">
      <c r="A12" s="4"/>
      <c r="B12" s="4"/>
      <c r="C12" s="5"/>
      <c r="D12" s="5"/>
      <c r="E12" s="5"/>
      <c r="F12" s="5"/>
    </row>
    <row r="13" ht="15.75" customHeight="1">
      <c r="A13" s="4"/>
      <c r="B13" s="4"/>
      <c r="C13" s="5"/>
      <c r="D13" s="5"/>
      <c r="E13" s="5"/>
      <c r="F13" s="5"/>
    </row>
    <row r="14" ht="15.75" customHeight="1">
      <c r="A14" s="4"/>
      <c r="B14" s="4"/>
      <c r="C14" s="5"/>
      <c r="D14" s="5"/>
      <c r="E14" s="5"/>
      <c r="F14" s="5"/>
    </row>
    <row r="15" ht="15.75" customHeight="1">
      <c r="A15" s="4"/>
      <c r="B15" s="4"/>
      <c r="C15" s="5"/>
      <c r="D15" s="5"/>
      <c r="E15" s="5"/>
      <c r="F15" s="5"/>
    </row>
    <row r="16" ht="15.75" customHeight="1">
      <c r="A16" s="4"/>
      <c r="B16" s="4"/>
      <c r="C16" s="5"/>
      <c r="D16" s="5"/>
      <c r="E16" s="5"/>
      <c r="F16" s="5"/>
    </row>
    <row r="17" ht="15.75" customHeight="1">
      <c r="A17" s="4"/>
      <c r="B17" s="4"/>
      <c r="C17" s="5"/>
      <c r="D17" s="5"/>
      <c r="E17" s="5"/>
      <c r="F17" s="5"/>
    </row>
    <row r="18" ht="15.75" customHeight="1">
      <c r="A18" s="4"/>
      <c r="B18" s="4"/>
      <c r="C18" s="5"/>
      <c r="D18" s="5"/>
      <c r="E18" s="5"/>
      <c r="F18" s="5"/>
    </row>
    <row r="19" ht="15.75" customHeight="1">
      <c r="A19" s="4"/>
      <c r="B19" s="4"/>
      <c r="C19" s="5"/>
      <c r="D19" s="5"/>
      <c r="E19" s="5"/>
      <c r="F19" s="5"/>
    </row>
    <row r="20" ht="15.75" customHeight="1">
      <c r="A20" s="4"/>
      <c r="B20" s="4"/>
      <c r="C20" s="5"/>
      <c r="D20" s="5"/>
      <c r="E20" s="5"/>
      <c r="F20" s="5"/>
    </row>
    <row r="21" ht="15.75" customHeight="1">
      <c r="A21" s="4"/>
      <c r="B21" s="4"/>
      <c r="C21" s="5"/>
      <c r="D21" s="5"/>
      <c r="E21" s="5"/>
      <c r="F21" s="5"/>
    </row>
    <row r="22" ht="15.75" customHeight="1">
      <c r="A22" s="4"/>
      <c r="B22" s="4"/>
      <c r="C22" s="5"/>
      <c r="D22" s="5"/>
      <c r="E22" s="5"/>
      <c r="F22" s="5"/>
    </row>
    <row r="23" ht="15.75" customHeight="1">
      <c r="A23" s="4"/>
      <c r="B23" s="4"/>
      <c r="C23" s="5"/>
      <c r="D23" s="5"/>
      <c r="E23" s="5"/>
      <c r="F23" s="5"/>
    </row>
    <row r="24" ht="15.75" customHeight="1">
      <c r="A24" s="4"/>
      <c r="B24" s="4"/>
      <c r="C24" s="5"/>
      <c r="D24" s="5"/>
      <c r="E24" s="5"/>
      <c r="F24" s="5"/>
    </row>
    <row r="25" ht="15.75" customHeight="1">
      <c r="C25" s="6"/>
    </row>
    <row r="26" ht="15.75" customHeight="1">
      <c r="C26" s="6"/>
    </row>
    <row r="27" ht="15.75" customHeight="1">
      <c r="C27" s="6"/>
    </row>
    <row r="28" ht="15.75" customHeight="1">
      <c r="C28" s="6"/>
    </row>
    <row r="29" ht="15.75" customHeight="1">
      <c r="C29" s="6"/>
    </row>
    <row r="30" ht="15.75" customHeight="1">
      <c r="C30" s="6"/>
    </row>
    <row r="31" ht="15.75" customHeight="1">
      <c r="C31" s="6"/>
      <c r="G31" s="6" t="str">
        <f>IFERROR(__xludf.DUMMYFUNCTION("QUERY({D2:D804,B2:B804},""select Col1,sum(Col2) where Col1 is not null group by Col1 order by sum(Col2) desc label Col1 'Category',sum(Col2) 'Amount'"",0)"),"Category")</f>
        <v>Category</v>
      </c>
      <c r="H31" s="7" t="str">
        <f>IFERROR(__xludf.DUMMYFUNCTION("""COMPUTED_VALUE"""),"Amount")</f>
        <v>Amount</v>
      </c>
      <c r="J31" s="6" t="str">
        <f>IFERROR(__xludf.DUMMYFUNCTION("QUERY({ARRAYFORMULA(IF(A2:A804="""","""",INT(DATEVALUE(LEFT(A2:A804,10))+TIMEVALUE(MID(A2:A804,12,8))+TIME(5,30,0)))),B2:B804},""select Col1,sum(Col2) where Col1 is not null group by Col1 order by Col1 label Col1 'Date',sum(Col2) 'Amount'"",0)"),"Date")</f>
        <v>Date</v>
      </c>
      <c r="K31" s="7" t="str">
        <f>IFERROR(__xludf.DUMMYFUNCTION("""COMPUTED_VALUE"""),"Amount")</f>
        <v>Amount</v>
      </c>
    </row>
    <row r="32" ht="15.75" customHeight="1">
      <c r="C32" s="6"/>
      <c r="G32" s="6" t="str">
        <f>IFERROR(__xludf.DUMMYFUNCTION("""COMPUTED_VALUE"""),"Shopping")</f>
        <v>Shopping</v>
      </c>
      <c r="H32" s="7">
        <f>IFERROR(__xludf.DUMMYFUNCTION("""COMPUTED_VALUE"""),810.0)</f>
        <v>810</v>
      </c>
      <c r="J32" s="8">
        <f>IFERROR(__xludf.DUMMYFUNCTION("""COMPUTED_VALUE"""),46298.0)</f>
        <v>46298</v>
      </c>
      <c r="K32" s="7">
        <f>IFERROR(__xludf.DUMMYFUNCTION("""COMPUTED_VALUE"""),895.0)</f>
        <v>895</v>
      </c>
    </row>
    <row r="33" ht="15.75" customHeight="1">
      <c r="C33" s="6"/>
      <c r="G33" s="6" t="str">
        <f>IFERROR(__xludf.DUMMYFUNCTION("""COMPUTED_VALUE"""),"Bills")</f>
        <v>Bills</v>
      </c>
      <c r="H33" s="7">
        <f>IFERROR(__xludf.DUMMYFUNCTION("""COMPUTED_VALUE"""),349.0)</f>
        <v>349</v>
      </c>
      <c r="J33" s="8">
        <f>IFERROR(__xludf.DUMMYFUNCTION("""COMPUTED_VALUE"""),46299.0)</f>
        <v>46299</v>
      </c>
      <c r="K33" s="7">
        <f>IFERROR(__xludf.DUMMYFUNCTION("""COMPUTED_VALUE"""),349.0)</f>
        <v>349</v>
      </c>
    </row>
    <row r="34" ht="15.75" customHeight="1">
      <c r="C34" s="6"/>
      <c r="G34" s="6" t="str">
        <f>IFERROR(__xludf.DUMMYFUNCTION("""COMPUTED_VALUE"""),"Personal")</f>
        <v>Personal</v>
      </c>
      <c r="H34" s="7">
        <f>IFERROR(__xludf.DUMMYFUNCTION("""COMPUTED_VALUE"""),85.0)</f>
        <v>85</v>
      </c>
      <c r="J34" s="8"/>
      <c r="K34" s="7"/>
    </row>
    <row r="35" ht="15.75" customHeight="1">
      <c r="C35" s="6"/>
      <c r="H35" s="7"/>
      <c r="J35" s="8"/>
      <c r="K35" s="7"/>
    </row>
    <row r="36" ht="15.75" customHeight="1">
      <c r="C36" s="6"/>
      <c r="H36" s="7"/>
      <c r="J36" s="8"/>
      <c r="K36" s="7"/>
    </row>
    <row r="37" ht="15.75" customHeight="1">
      <c r="C37" s="6"/>
      <c r="H37" s="7"/>
      <c r="J37" s="8"/>
      <c r="K37" s="7"/>
    </row>
    <row r="38" ht="15.75" customHeight="1">
      <c r="C38" s="6"/>
      <c r="H38" s="7"/>
      <c r="J38" s="8"/>
      <c r="K38" s="7"/>
    </row>
    <row r="39" ht="15.75" customHeight="1">
      <c r="C39" s="6"/>
      <c r="H39" s="7"/>
      <c r="J39" s="8"/>
      <c r="K39" s="7"/>
    </row>
    <row r="40" ht="15.75" customHeight="1">
      <c r="C40" s="6"/>
      <c r="H40" s="7"/>
      <c r="J40" s="8"/>
      <c r="K40" s="7"/>
    </row>
    <row r="41" ht="15.75" customHeight="1">
      <c r="C41" s="6"/>
      <c r="H41" s="7"/>
      <c r="J41" s="8"/>
      <c r="K41" s="7"/>
    </row>
    <row r="42" ht="15.75" customHeight="1">
      <c r="C42" s="6"/>
      <c r="H42" s="7"/>
      <c r="J42" s="8"/>
      <c r="K42" s="7"/>
    </row>
    <row r="43" ht="15.75" customHeight="1">
      <c r="C43" s="6"/>
      <c r="H43" s="7"/>
      <c r="J43" s="8"/>
      <c r="K43" s="7"/>
    </row>
    <row r="44" ht="15.75" customHeight="1">
      <c r="C44" s="6"/>
      <c r="H44" s="7"/>
      <c r="J44" s="8"/>
      <c r="K44" s="7"/>
    </row>
    <row r="45" ht="15.75" customHeight="1">
      <c r="C45" s="6"/>
      <c r="H45" s="7"/>
      <c r="J45" s="8"/>
      <c r="K45" s="7"/>
    </row>
    <row r="46" ht="15.75" customHeight="1">
      <c r="C46" s="6"/>
      <c r="H46" s="7"/>
      <c r="J46" s="8"/>
      <c r="K46" s="7"/>
    </row>
    <row r="47" ht="15.75" customHeight="1">
      <c r="C47" s="6"/>
      <c r="H47" s="7"/>
      <c r="J47" s="8"/>
      <c r="K47" s="7"/>
    </row>
    <row r="48" ht="15.75" customHeight="1">
      <c r="C48" s="6"/>
      <c r="H48" s="7"/>
      <c r="J48" s="8"/>
      <c r="K48" s="7"/>
    </row>
    <row r="49" ht="15.75" customHeight="1">
      <c r="C49" s="6"/>
      <c r="H49" s="7"/>
      <c r="J49" s="8"/>
      <c r="K49" s="7"/>
    </row>
    <row r="50" ht="15.75" customHeight="1">
      <c r="C50" s="6"/>
      <c r="H50" s="7"/>
      <c r="J50" s="8"/>
      <c r="K50" s="7"/>
    </row>
    <row r="51" ht="15.75" customHeight="1">
      <c r="C51" s="6"/>
      <c r="H51" s="7"/>
      <c r="J51" s="8"/>
      <c r="K51" s="7"/>
    </row>
    <row r="52" ht="15.75" customHeight="1">
      <c r="C52" s="6"/>
      <c r="H52" s="7"/>
      <c r="J52" s="8"/>
      <c r="K52" s="7"/>
    </row>
    <row r="53" ht="15.75" customHeight="1">
      <c r="C53" s="6"/>
      <c r="H53" s="7"/>
      <c r="J53" s="8"/>
      <c r="K53" s="7"/>
    </row>
    <row r="54" ht="15.75" customHeight="1">
      <c r="C54" s="6"/>
      <c r="H54" s="7"/>
      <c r="J54" s="8"/>
      <c r="K54" s="7"/>
    </row>
    <row r="55" ht="15.75" customHeight="1">
      <c r="C55" s="6"/>
      <c r="H55" s="7"/>
      <c r="J55" s="8"/>
      <c r="K55" s="7"/>
    </row>
    <row r="56" ht="15.75" customHeight="1">
      <c r="C56" s="6"/>
      <c r="H56" s="7"/>
      <c r="J56" s="8"/>
      <c r="K56" s="7"/>
    </row>
    <row r="57" ht="15.75" customHeight="1">
      <c r="C57" s="6"/>
      <c r="H57" s="7"/>
      <c r="J57" s="8"/>
      <c r="K57" s="7"/>
    </row>
    <row r="58" ht="15.75" customHeight="1">
      <c r="C58" s="6"/>
      <c r="H58" s="7"/>
      <c r="J58" s="8"/>
      <c r="K58" s="7"/>
    </row>
    <row r="59" ht="15.75" customHeight="1">
      <c r="C59" s="6"/>
      <c r="H59" s="7"/>
      <c r="J59" s="8"/>
      <c r="K59" s="7"/>
    </row>
    <row r="60" ht="15.75" customHeight="1">
      <c r="C60" s="6"/>
      <c r="H60" s="7"/>
      <c r="J60" s="8"/>
      <c r="K60" s="7"/>
    </row>
    <row r="61" ht="15.75" customHeight="1">
      <c r="C61" s="6"/>
      <c r="H61" s="7"/>
      <c r="J61" s="8"/>
      <c r="K61" s="7"/>
    </row>
    <row r="62" ht="15.75" customHeight="1">
      <c r="C62" s="6"/>
      <c r="H62" s="7"/>
      <c r="J62" s="8"/>
      <c r="K62" s="7"/>
    </row>
    <row r="63" ht="15.75" customHeight="1">
      <c r="C63" s="6"/>
      <c r="H63" s="7"/>
      <c r="J63" s="8"/>
      <c r="K63" s="7"/>
    </row>
    <row r="64" ht="15.75" customHeight="1">
      <c r="C64" s="6"/>
      <c r="H64" s="7"/>
      <c r="J64" s="8"/>
      <c r="K64" s="7"/>
    </row>
    <row r="65" ht="15.75" customHeight="1">
      <c r="C65" s="6"/>
      <c r="H65" s="7"/>
      <c r="J65" s="8"/>
      <c r="K65" s="7"/>
    </row>
    <row r="66" ht="15.75" customHeight="1">
      <c r="C66" s="6"/>
      <c r="H66" s="7"/>
      <c r="J66" s="8"/>
      <c r="K66" s="7"/>
    </row>
    <row r="67" ht="15.75" customHeight="1">
      <c r="C67" s="6"/>
      <c r="H67" s="7"/>
      <c r="J67" s="8"/>
      <c r="K67" s="7"/>
    </row>
    <row r="68" ht="15.75" customHeight="1">
      <c r="C68" s="6"/>
      <c r="H68" s="7"/>
      <c r="J68" s="8"/>
      <c r="K68" s="7"/>
    </row>
    <row r="69" ht="15.75" customHeight="1">
      <c r="C69" s="6"/>
      <c r="H69" s="7"/>
      <c r="J69" s="8"/>
      <c r="K69" s="7"/>
    </row>
    <row r="70" ht="15.75" customHeight="1">
      <c r="C70" s="6"/>
      <c r="H70" s="7"/>
      <c r="J70" s="8"/>
      <c r="K70" s="7"/>
    </row>
    <row r="71" ht="15.75" customHeight="1">
      <c r="C71" s="6"/>
      <c r="H71" s="7"/>
      <c r="J71" s="8"/>
      <c r="K71" s="7"/>
    </row>
    <row r="72" ht="15.75" customHeight="1">
      <c r="C72" s="6"/>
      <c r="H72" s="7"/>
      <c r="J72" s="8"/>
      <c r="K72" s="7"/>
    </row>
    <row r="73" ht="15.75" customHeight="1">
      <c r="C73" s="6"/>
      <c r="H73" s="7"/>
      <c r="J73" s="8"/>
      <c r="K73" s="7"/>
    </row>
    <row r="74" ht="15.75" customHeight="1">
      <c r="C74" s="6"/>
      <c r="H74" s="7"/>
      <c r="J74" s="8"/>
      <c r="K74" s="7"/>
    </row>
    <row r="75" ht="15.75" customHeight="1">
      <c r="C75" s="6"/>
      <c r="H75" s="7"/>
      <c r="J75" s="8"/>
      <c r="K75" s="7"/>
    </row>
    <row r="76" ht="15.75" customHeight="1">
      <c r="C76" s="6"/>
      <c r="H76" s="7"/>
      <c r="J76" s="8"/>
      <c r="K76" s="7"/>
    </row>
    <row r="77" ht="15.75" customHeight="1">
      <c r="C77" s="6"/>
      <c r="H77" s="7"/>
      <c r="J77" s="8"/>
      <c r="K77" s="7"/>
    </row>
    <row r="78" ht="15.75" customHeight="1">
      <c r="C78" s="6"/>
      <c r="H78" s="7"/>
      <c r="J78" s="8"/>
      <c r="K78" s="7"/>
    </row>
    <row r="79" ht="15.75" customHeight="1">
      <c r="C79" s="6"/>
      <c r="H79" s="7"/>
      <c r="J79" s="8"/>
      <c r="K79" s="7"/>
    </row>
    <row r="80" ht="15.75" customHeight="1">
      <c r="C80" s="6"/>
      <c r="H80" s="7"/>
      <c r="J80" s="8"/>
      <c r="K80" s="7"/>
    </row>
    <row r="81" ht="15.75" customHeight="1">
      <c r="C81" s="6"/>
      <c r="H81" s="7"/>
      <c r="J81" s="8"/>
      <c r="K81" s="7"/>
    </row>
    <row r="82" ht="15.75" customHeight="1">
      <c r="C82" s="6"/>
      <c r="H82" s="7"/>
      <c r="J82" s="8"/>
      <c r="K82" s="7"/>
    </row>
    <row r="83" ht="15.75" customHeight="1">
      <c r="C83" s="6"/>
      <c r="H83" s="7"/>
      <c r="J83" s="8"/>
      <c r="K83" s="7"/>
    </row>
    <row r="84" ht="15.75" customHeight="1">
      <c r="C84" s="6"/>
      <c r="H84" s="7"/>
      <c r="J84" s="8"/>
      <c r="K84" s="7"/>
    </row>
    <row r="85" ht="15.75" customHeight="1">
      <c r="C85" s="6"/>
      <c r="H85" s="7"/>
      <c r="J85" s="8"/>
      <c r="K85" s="7"/>
    </row>
    <row r="86" ht="15.75" customHeight="1">
      <c r="C86" s="6"/>
      <c r="H86" s="7"/>
      <c r="J86" s="8"/>
      <c r="K86" s="7"/>
    </row>
    <row r="87" ht="15.75" customHeight="1">
      <c r="C87" s="6"/>
      <c r="H87" s="7"/>
      <c r="J87" s="8"/>
      <c r="K87" s="7"/>
    </row>
    <row r="88" ht="15.75" customHeight="1">
      <c r="C88" s="6"/>
      <c r="H88" s="7"/>
      <c r="J88" s="8"/>
      <c r="K88" s="7"/>
    </row>
    <row r="89" ht="15.75" customHeight="1">
      <c r="C89" s="6"/>
      <c r="H89" s="7"/>
      <c r="J89" s="8"/>
      <c r="K89" s="7"/>
    </row>
    <row r="90" ht="15.75" customHeight="1">
      <c r="C90" s="6"/>
      <c r="H90" s="7"/>
      <c r="J90" s="8"/>
      <c r="K90" s="7"/>
    </row>
    <row r="91" ht="15.75" customHeight="1">
      <c r="C91" s="6"/>
      <c r="H91" s="7"/>
      <c r="J91" s="8"/>
      <c r="K91" s="7"/>
    </row>
    <row r="92" ht="15.75" customHeight="1">
      <c r="C92" s="6"/>
      <c r="H92" s="7"/>
      <c r="J92" s="8"/>
      <c r="K92" s="7"/>
    </row>
    <row r="93" ht="15.75" customHeight="1">
      <c r="C93" s="6"/>
      <c r="H93" s="7"/>
      <c r="J93" s="8"/>
      <c r="K93" s="7"/>
    </row>
    <row r="94" ht="15.75" customHeight="1">
      <c r="C94" s="6"/>
      <c r="H94" s="7"/>
      <c r="J94" s="8"/>
      <c r="K94" s="7"/>
    </row>
    <row r="95" ht="15.75" customHeight="1">
      <c r="C95" s="6"/>
      <c r="H95" s="7"/>
      <c r="J95" s="8"/>
      <c r="K95" s="7"/>
    </row>
    <row r="96" ht="15.75" customHeight="1">
      <c r="C96" s="6"/>
      <c r="H96" s="7"/>
      <c r="J96" s="8"/>
      <c r="K96" s="7"/>
    </row>
    <row r="97" ht="15.75" customHeight="1">
      <c r="C97" s="6"/>
      <c r="H97" s="7"/>
      <c r="J97" s="8"/>
      <c r="K97" s="7"/>
    </row>
    <row r="98" ht="15.75" customHeight="1">
      <c r="C98" s="6"/>
      <c r="H98" s="7"/>
      <c r="J98" s="8"/>
      <c r="K98" s="7"/>
    </row>
    <row r="99" ht="15.75" customHeight="1">
      <c r="C99" s="6"/>
      <c r="H99" s="7"/>
      <c r="J99" s="8"/>
      <c r="K99" s="7"/>
    </row>
    <row r="100" ht="15.75" customHeight="1">
      <c r="C100" s="6"/>
      <c r="H100" s="7"/>
      <c r="J100" s="8"/>
      <c r="K100" s="7"/>
    </row>
    <row r="101" ht="15.75" customHeight="1">
      <c r="C101" s="6"/>
      <c r="H101" s="7"/>
      <c r="J101" s="8"/>
      <c r="K101" s="7"/>
    </row>
    <row r="102" ht="15.75" customHeight="1">
      <c r="C102" s="6"/>
    </row>
    <row r="103" ht="15.75" customHeight="1">
      <c r="C103" s="6"/>
    </row>
    <row r="104" ht="15.75" customHeight="1">
      <c r="C104" s="6"/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  <row r="267" ht="15.75" customHeight="1">
      <c r="C267" s="6"/>
    </row>
    <row r="268" ht="15.75" customHeight="1">
      <c r="C268" s="6"/>
    </row>
    <row r="269" ht="15.75" customHeight="1">
      <c r="C269" s="6"/>
    </row>
    <row r="270" ht="15.75" customHeight="1">
      <c r="C270" s="6"/>
    </row>
    <row r="271" ht="15.75" customHeight="1">
      <c r="C271" s="6"/>
    </row>
    <row r="272" ht="15.75" customHeight="1">
      <c r="C272" s="6"/>
    </row>
    <row r="273" ht="15.75" customHeight="1">
      <c r="C273" s="6"/>
    </row>
    <row r="274" ht="15.75" customHeight="1">
      <c r="C274" s="6"/>
    </row>
    <row r="275" ht="15.75" customHeight="1">
      <c r="C275" s="6"/>
    </row>
    <row r="276" ht="15.75" customHeight="1">
      <c r="C276" s="6"/>
    </row>
    <row r="277" ht="15.75" customHeight="1">
      <c r="C277" s="6"/>
    </row>
    <row r="278" ht="15.75" customHeight="1">
      <c r="C278" s="6"/>
    </row>
    <row r="279" ht="15.75" customHeight="1">
      <c r="C279" s="6"/>
    </row>
    <row r="280" ht="15.75" customHeight="1">
      <c r="C280" s="6"/>
    </row>
    <row r="281" ht="15.75" customHeight="1">
      <c r="C281" s="6"/>
    </row>
    <row r="282" ht="15.75" customHeight="1">
      <c r="C282" s="6"/>
    </row>
    <row r="283" ht="15.75" customHeight="1">
      <c r="C283" s="6"/>
    </row>
    <row r="284" ht="15.75" customHeight="1">
      <c r="C284" s="6"/>
    </row>
    <row r="285" ht="15.75" customHeight="1">
      <c r="C285" s="6"/>
    </row>
    <row r="286" ht="15.75" customHeight="1">
      <c r="C286" s="6"/>
    </row>
    <row r="287" ht="15.75" customHeight="1">
      <c r="C287" s="6"/>
    </row>
    <row r="288" ht="15.75" customHeight="1">
      <c r="C288" s="6"/>
    </row>
    <row r="289" ht="15.75" customHeight="1">
      <c r="C289" s="6"/>
    </row>
    <row r="290" ht="15.75" customHeight="1">
      <c r="C290" s="6"/>
    </row>
    <row r="291" ht="15.75" customHeight="1">
      <c r="C291" s="6"/>
    </row>
    <row r="292" ht="15.75" customHeight="1">
      <c r="C292" s="6"/>
    </row>
    <row r="293" ht="15.75" customHeight="1">
      <c r="C293" s="6"/>
    </row>
    <row r="294" ht="15.75" customHeight="1">
      <c r="C294" s="6"/>
    </row>
    <row r="295" ht="15.75" customHeight="1">
      <c r="C295" s="6"/>
    </row>
    <row r="296" ht="15.75" customHeight="1">
      <c r="C296" s="6"/>
    </row>
    <row r="297" ht="15.75" customHeight="1">
      <c r="C297" s="6"/>
    </row>
    <row r="298" ht="15.75" customHeight="1">
      <c r="C298" s="6"/>
    </row>
    <row r="299" ht="15.75" customHeight="1">
      <c r="C299" s="6"/>
    </row>
    <row r="300" ht="15.75" customHeight="1">
      <c r="C300" s="6"/>
    </row>
    <row r="301" ht="15.75" customHeight="1">
      <c r="C301" s="6"/>
    </row>
    <row r="302" ht="15.75" customHeight="1">
      <c r="C302" s="6"/>
    </row>
    <row r="303" ht="15.75" customHeight="1">
      <c r="C303" s="6"/>
    </row>
    <row r="304" ht="15.75" customHeight="1">
      <c r="C304" s="6"/>
    </row>
    <row r="305" ht="15.75" customHeight="1">
      <c r="C305" s="6"/>
    </row>
    <row r="306" ht="15.75" customHeight="1">
      <c r="C306" s="6"/>
    </row>
    <row r="307" ht="15.75" customHeight="1">
      <c r="C307" s="6"/>
    </row>
    <row r="308" ht="15.75" customHeight="1">
      <c r="C308" s="6"/>
    </row>
    <row r="309" ht="15.75" customHeight="1">
      <c r="C309" s="6"/>
    </row>
    <row r="310" ht="15.75" customHeight="1">
      <c r="C310" s="6"/>
    </row>
    <row r="311" ht="15.75" customHeight="1">
      <c r="C311" s="6"/>
    </row>
    <row r="312" ht="15.75" customHeight="1">
      <c r="C312" s="6"/>
    </row>
    <row r="313" ht="15.75" customHeight="1">
      <c r="C313" s="6"/>
    </row>
    <row r="314" ht="15.75" customHeight="1">
      <c r="C314" s="6"/>
    </row>
    <row r="315" ht="15.75" customHeight="1">
      <c r="C315" s="6"/>
    </row>
    <row r="316" ht="15.75" customHeight="1">
      <c r="C316" s="6"/>
    </row>
    <row r="317" ht="15.75" customHeight="1">
      <c r="C317" s="6"/>
    </row>
    <row r="318" ht="15.75" customHeight="1">
      <c r="C318" s="6"/>
    </row>
    <row r="319" ht="15.75" customHeight="1">
      <c r="C319" s="6"/>
    </row>
    <row r="320" ht="15.75" customHeight="1">
      <c r="C320" s="6"/>
    </row>
    <row r="321" ht="15.75" customHeight="1">
      <c r="C321" s="6"/>
    </row>
    <row r="322" ht="15.75" customHeight="1">
      <c r="C322" s="6"/>
    </row>
    <row r="323" ht="15.75" customHeight="1">
      <c r="C323" s="6"/>
    </row>
    <row r="324" ht="15.75" customHeight="1">
      <c r="C324" s="6"/>
    </row>
    <row r="325" ht="15.75" customHeight="1">
      <c r="C325" s="6"/>
    </row>
    <row r="326" ht="15.75" customHeight="1">
      <c r="C326" s="6"/>
    </row>
    <row r="327" ht="15.75" customHeight="1">
      <c r="C327" s="6"/>
    </row>
    <row r="328" ht="15.75" customHeight="1">
      <c r="C328" s="6"/>
    </row>
    <row r="329" ht="15.75" customHeight="1">
      <c r="C329" s="6"/>
    </row>
    <row r="330" ht="15.75" customHeight="1">
      <c r="C330" s="6"/>
    </row>
    <row r="331" ht="15.75" customHeight="1">
      <c r="C331" s="6"/>
    </row>
    <row r="332" ht="15.75" customHeight="1">
      <c r="C332" s="6"/>
    </row>
    <row r="333" ht="15.75" customHeight="1">
      <c r="C333" s="6"/>
    </row>
    <row r="334" ht="15.75" customHeight="1">
      <c r="C334" s="6"/>
    </row>
    <row r="335" ht="15.75" customHeight="1">
      <c r="C335" s="6"/>
    </row>
    <row r="336" ht="15.75" customHeight="1">
      <c r="C336" s="6"/>
    </row>
    <row r="337" ht="15.75" customHeight="1">
      <c r="C337" s="6"/>
    </row>
    <row r="338" ht="15.75" customHeight="1">
      <c r="C338" s="6"/>
    </row>
    <row r="339" ht="15.75" customHeight="1">
      <c r="C339" s="6"/>
    </row>
    <row r="340" ht="15.75" customHeight="1">
      <c r="C340" s="6"/>
    </row>
    <row r="341" ht="15.75" customHeight="1">
      <c r="C341" s="6"/>
    </row>
    <row r="342" ht="15.75" customHeight="1">
      <c r="C342" s="6"/>
    </row>
    <row r="343" ht="15.75" customHeight="1">
      <c r="C343" s="6"/>
    </row>
    <row r="344" ht="15.75" customHeight="1">
      <c r="C344" s="6"/>
    </row>
    <row r="345" ht="15.75" customHeight="1">
      <c r="C345" s="6"/>
    </row>
    <row r="346" ht="15.75" customHeight="1">
      <c r="C346" s="6"/>
    </row>
    <row r="347" ht="15.75" customHeight="1">
      <c r="C347" s="6"/>
    </row>
    <row r="348" ht="15.75" customHeight="1">
      <c r="C348" s="6"/>
    </row>
    <row r="349" ht="15.75" customHeight="1">
      <c r="C349" s="6"/>
    </row>
    <row r="350" ht="15.75" customHeight="1">
      <c r="C350" s="6"/>
    </row>
    <row r="351" ht="15.75" customHeight="1">
      <c r="C351" s="6"/>
    </row>
    <row r="352" ht="15.75" customHeight="1">
      <c r="C352" s="6"/>
    </row>
    <row r="353" ht="15.75" customHeight="1">
      <c r="C353" s="6"/>
    </row>
    <row r="354" ht="15.75" customHeight="1">
      <c r="C354" s="6"/>
    </row>
    <row r="355" ht="15.75" customHeight="1">
      <c r="C355" s="6"/>
    </row>
    <row r="356" ht="15.75" customHeight="1">
      <c r="C356" s="6"/>
    </row>
    <row r="357" ht="15.75" customHeight="1">
      <c r="C357" s="6"/>
    </row>
    <row r="358" ht="15.75" customHeight="1">
      <c r="C358" s="6"/>
    </row>
    <row r="359" ht="15.75" customHeight="1">
      <c r="C359" s="6"/>
    </row>
    <row r="360" ht="15.75" customHeight="1">
      <c r="C360" s="6"/>
    </row>
    <row r="361" ht="15.75" customHeight="1">
      <c r="C361" s="6"/>
    </row>
    <row r="362" ht="15.75" customHeight="1">
      <c r="C362" s="6"/>
    </row>
    <row r="363" ht="15.75" customHeight="1">
      <c r="C363" s="6"/>
    </row>
    <row r="364" ht="15.75" customHeight="1">
      <c r="C364" s="6"/>
    </row>
    <row r="365" ht="15.75" customHeight="1">
      <c r="C365" s="6"/>
    </row>
    <row r="366" ht="15.75" customHeight="1">
      <c r="C366" s="6"/>
    </row>
    <row r="367" ht="15.75" customHeight="1">
      <c r="C367" s="6"/>
    </row>
    <row r="368" ht="15.75" customHeight="1">
      <c r="C368" s="6"/>
    </row>
    <row r="369" ht="15.75" customHeight="1">
      <c r="C369" s="6"/>
    </row>
    <row r="370" ht="15.75" customHeight="1">
      <c r="C370" s="6"/>
    </row>
    <row r="371" ht="15.75" customHeight="1">
      <c r="C371" s="6"/>
    </row>
    <row r="372" ht="15.75" customHeight="1">
      <c r="C372" s="6"/>
    </row>
    <row r="373" ht="15.75" customHeight="1">
      <c r="C373" s="6"/>
    </row>
    <row r="374" ht="15.75" customHeight="1">
      <c r="C374" s="6"/>
    </row>
    <row r="375" ht="15.75" customHeight="1">
      <c r="C375" s="6"/>
    </row>
    <row r="376" ht="15.75" customHeight="1">
      <c r="C376" s="6"/>
    </row>
    <row r="377" ht="15.75" customHeight="1">
      <c r="C377" s="6"/>
    </row>
    <row r="378" ht="15.75" customHeight="1">
      <c r="C378" s="6"/>
    </row>
    <row r="379" ht="15.75" customHeight="1">
      <c r="C379" s="6"/>
    </row>
    <row r="380" ht="15.75" customHeight="1">
      <c r="C380" s="6"/>
    </row>
    <row r="381" ht="15.75" customHeight="1">
      <c r="C381" s="6"/>
    </row>
    <row r="382" ht="15.75" customHeight="1">
      <c r="C382" s="6"/>
    </row>
    <row r="383" ht="15.75" customHeight="1">
      <c r="C383" s="6"/>
    </row>
    <row r="384" ht="15.75" customHeight="1">
      <c r="C384" s="6"/>
    </row>
    <row r="385" ht="15.75" customHeight="1">
      <c r="C385" s="6"/>
    </row>
    <row r="386" ht="15.75" customHeight="1">
      <c r="C386" s="6"/>
    </row>
    <row r="387" ht="15.75" customHeight="1">
      <c r="C387" s="6"/>
    </row>
    <row r="388" ht="15.75" customHeight="1">
      <c r="C388" s="6"/>
    </row>
    <row r="389" ht="15.75" customHeight="1">
      <c r="C389" s="6"/>
    </row>
    <row r="390" ht="15.75" customHeight="1">
      <c r="C390" s="6"/>
    </row>
    <row r="391" ht="15.75" customHeight="1">
      <c r="C391" s="6"/>
    </row>
    <row r="392" ht="15.75" customHeight="1">
      <c r="C392" s="6"/>
    </row>
    <row r="393" ht="15.75" customHeight="1">
      <c r="C393" s="6"/>
    </row>
    <row r="394" ht="15.75" customHeight="1">
      <c r="C394" s="6"/>
    </row>
    <row r="395" ht="15.75" customHeight="1">
      <c r="C395" s="6"/>
    </row>
    <row r="396" ht="15.75" customHeight="1">
      <c r="C396" s="6"/>
    </row>
    <row r="397" ht="15.75" customHeight="1">
      <c r="C397" s="6"/>
    </row>
    <row r="398" ht="15.75" customHeight="1">
      <c r="C398" s="6"/>
    </row>
    <row r="399" ht="15.75" customHeight="1">
      <c r="C399" s="6"/>
    </row>
    <row r="400" ht="15.75" customHeight="1">
      <c r="C400" s="6"/>
    </row>
    <row r="401" ht="15.75" customHeight="1">
      <c r="C401" s="6"/>
    </row>
    <row r="402" ht="15.75" customHeight="1">
      <c r="C402" s="6"/>
    </row>
    <row r="403" ht="15.75" customHeight="1">
      <c r="C403" s="6"/>
    </row>
    <row r="404" ht="15.75" customHeight="1">
      <c r="C404" s="6"/>
    </row>
    <row r="405" ht="15.75" customHeight="1">
      <c r="C405" s="6"/>
    </row>
    <row r="406" ht="15.75" customHeight="1">
      <c r="C406" s="6"/>
    </row>
    <row r="407" ht="15.75" customHeight="1">
      <c r="C407" s="6"/>
    </row>
    <row r="408" ht="15.75" customHeight="1">
      <c r="C408" s="6"/>
    </row>
    <row r="409" ht="15.75" customHeight="1">
      <c r="C409" s="6"/>
    </row>
    <row r="410" ht="15.75" customHeight="1">
      <c r="C410" s="6"/>
    </row>
    <row r="411" ht="15.75" customHeight="1">
      <c r="C411" s="6"/>
    </row>
    <row r="412" ht="15.75" customHeight="1">
      <c r="C412" s="6"/>
    </row>
    <row r="413" ht="15.75" customHeight="1">
      <c r="C413" s="6"/>
    </row>
    <row r="414" ht="15.75" customHeight="1">
      <c r="C414" s="6"/>
    </row>
    <row r="415" ht="15.75" customHeight="1">
      <c r="C415" s="6"/>
    </row>
    <row r="416" ht="15.75" customHeight="1">
      <c r="C416" s="6"/>
    </row>
    <row r="417" ht="15.75" customHeight="1">
      <c r="C417" s="6"/>
    </row>
    <row r="418" ht="15.75" customHeight="1">
      <c r="C418" s="6"/>
    </row>
    <row r="419" ht="15.75" customHeight="1">
      <c r="C419" s="6"/>
    </row>
    <row r="420" ht="15.75" customHeight="1">
      <c r="C420" s="6"/>
    </row>
    <row r="421" ht="15.75" customHeight="1">
      <c r="C421" s="6"/>
    </row>
    <row r="422" ht="15.75" customHeight="1">
      <c r="C422" s="6"/>
    </row>
    <row r="423" ht="15.75" customHeight="1">
      <c r="C423" s="6"/>
    </row>
    <row r="424" ht="15.75" customHeight="1">
      <c r="C424" s="6"/>
    </row>
    <row r="425" ht="15.75" customHeight="1">
      <c r="C425" s="6"/>
    </row>
    <row r="426" ht="15.75" customHeight="1">
      <c r="C426" s="6"/>
    </row>
    <row r="427" ht="15.75" customHeight="1">
      <c r="C427" s="6"/>
    </row>
    <row r="428" ht="15.75" customHeight="1">
      <c r="C428" s="6"/>
    </row>
    <row r="429" ht="15.75" customHeight="1">
      <c r="C429" s="6"/>
    </row>
    <row r="430" ht="15.75" customHeight="1">
      <c r="C430" s="6"/>
    </row>
    <row r="431" ht="15.75" customHeight="1">
      <c r="C431" s="6"/>
    </row>
    <row r="432" ht="15.75" customHeight="1">
      <c r="C432" s="6"/>
    </row>
    <row r="433" ht="15.75" customHeight="1">
      <c r="C433" s="6"/>
    </row>
    <row r="434" ht="15.75" customHeight="1">
      <c r="C434" s="6"/>
    </row>
    <row r="435" ht="15.75" customHeight="1">
      <c r="C435" s="6"/>
    </row>
    <row r="436" ht="15.75" customHeight="1">
      <c r="C436" s="6"/>
    </row>
    <row r="437" ht="15.75" customHeight="1">
      <c r="C437" s="6"/>
    </row>
    <row r="438" ht="15.75" customHeight="1">
      <c r="C438" s="6"/>
    </row>
    <row r="439" ht="15.75" customHeight="1">
      <c r="C439" s="6"/>
    </row>
    <row r="440" ht="15.75" customHeight="1">
      <c r="C440" s="6"/>
    </row>
    <row r="441" ht="15.75" customHeight="1">
      <c r="C441" s="6"/>
    </row>
    <row r="442" ht="15.75" customHeight="1">
      <c r="C442" s="6"/>
    </row>
    <row r="443" ht="15.75" customHeight="1">
      <c r="C443" s="6"/>
    </row>
    <row r="444" ht="15.75" customHeight="1">
      <c r="C444" s="6"/>
    </row>
    <row r="445" ht="15.75" customHeight="1">
      <c r="C445" s="6"/>
    </row>
    <row r="446" ht="15.75" customHeight="1">
      <c r="C446" s="6"/>
    </row>
    <row r="447" ht="15.75" customHeight="1">
      <c r="C447" s="6"/>
    </row>
    <row r="448" ht="15.75" customHeight="1">
      <c r="C448" s="6"/>
    </row>
    <row r="449" ht="15.75" customHeight="1">
      <c r="C449" s="6"/>
    </row>
    <row r="450" ht="15.75" customHeight="1">
      <c r="C450" s="6"/>
    </row>
    <row r="451" ht="15.75" customHeight="1">
      <c r="C451" s="6"/>
    </row>
    <row r="452" ht="15.75" customHeight="1">
      <c r="C452" s="6"/>
    </row>
    <row r="453" ht="15.75" customHeight="1">
      <c r="C453" s="6"/>
    </row>
    <row r="454" ht="15.75" customHeight="1">
      <c r="C454" s="6"/>
    </row>
    <row r="455" ht="15.75" customHeight="1">
      <c r="C455" s="6"/>
    </row>
    <row r="456" ht="15.75" customHeight="1">
      <c r="C456" s="6"/>
    </row>
    <row r="457" ht="15.75" customHeight="1">
      <c r="C457" s="6"/>
    </row>
    <row r="458" ht="15.75" customHeight="1">
      <c r="C458" s="6"/>
    </row>
    <row r="459" ht="15.75" customHeight="1">
      <c r="C459" s="6"/>
    </row>
    <row r="460" ht="15.75" customHeight="1">
      <c r="C460" s="6"/>
    </row>
    <row r="461" ht="15.75" customHeight="1">
      <c r="C461" s="6"/>
    </row>
    <row r="462" ht="15.75" customHeight="1">
      <c r="C462" s="6"/>
    </row>
    <row r="463" ht="15.75" customHeight="1">
      <c r="C463" s="6"/>
    </row>
    <row r="464" ht="15.75" customHeight="1">
      <c r="C464" s="6"/>
    </row>
    <row r="465" ht="15.75" customHeight="1">
      <c r="C465" s="6"/>
    </row>
    <row r="466" ht="15.75" customHeight="1">
      <c r="C466" s="6"/>
    </row>
    <row r="467" ht="15.75" customHeight="1">
      <c r="C467" s="6"/>
    </row>
    <row r="468" ht="15.75" customHeight="1">
      <c r="C468" s="6"/>
    </row>
    <row r="469" ht="15.75" customHeight="1">
      <c r="C469" s="6"/>
    </row>
    <row r="470" ht="15.75" customHeight="1">
      <c r="C470" s="6"/>
    </row>
    <row r="471" ht="15.75" customHeight="1">
      <c r="C471" s="6"/>
    </row>
    <row r="472" ht="15.75" customHeight="1">
      <c r="C472" s="6"/>
    </row>
    <row r="473" ht="15.75" customHeight="1">
      <c r="C473" s="6"/>
    </row>
    <row r="474" ht="15.75" customHeight="1">
      <c r="C474" s="6"/>
    </row>
    <row r="475" ht="15.75" customHeight="1">
      <c r="C475" s="6"/>
    </row>
    <row r="476" ht="15.75" customHeight="1">
      <c r="C476" s="6"/>
    </row>
    <row r="477" ht="15.75" customHeight="1">
      <c r="C477" s="6"/>
    </row>
    <row r="478" ht="15.75" customHeight="1">
      <c r="C478" s="6"/>
    </row>
    <row r="479" ht="15.75" customHeight="1">
      <c r="C479" s="6"/>
    </row>
    <row r="480" ht="15.75" customHeight="1">
      <c r="C480" s="6"/>
    </row>
    <row r="481" ht="15.75" customHeight="1">
      <c r="C481" s="6"/>
    </row>
    <row r="482" ht="15.75" customHeight="1">
      <c r="C482" s="6"/>
    </row>
    <row r="483" ht="15.75" customHeight="1">
      <c r="C483" s="6"/>
    </row>
    <row r="484" ht="15.75" customHeight="1">
      <c r="C484" s="6"/>
    </row>
    <row r="485" ht="15.75" customHeight="1">
      <c r="C485" s="6"/>
    </row>
    <row r="486" ht="15.75" customHeight="1">
      <c r="C486" s="6"/>
    </row>
    <row r="487" ht="15.75" customHeight="1">
      <c r="C487" s="6"/>
    </row>
    <row r="488" ht="15.75" customHeight="1">
      <c r="C488" s="6"/>
    </row>
    <row r="489" ht="15.75" customHeight="1">
      <c r="C489" s="6"/>
    </row>
    <row r="490" ht="15.75" customHeight="1">
      <c r="C490" s="6"/>
    </row>
    <row r="491" ht="15.75" customHeight="1">
      <c r="C491" s="6"/>
    </row>
    <row r="492" ht="15.75" customHeight="1">
      <c r="C492" s="6"/>
    </row>
    <row r="493" ht="15.75" customHeight="1">
      <c r="C493" s="6"/>
    </row>
    <row r="494" ht="15.75" customHeight="1">
      <c r="C494" s="6"/>
    </row>
    <row r="495" ht="15.75" customHeight="1">
      <c r="C495" s="6"/>
    </row>
    <row r="496" ht="15.75" customHeight="1">
      <c r="C496" s="6"/>
    </row>
    <row r="497" ht="15.75" customHeight="1">
      <c r="C497" s="6"/>
    </row>
    <row r="498" ht="15.75" customHeight="1">
      <c r="C498" s="6"/>
    </row>
    <row r="499" ht="15.75" customHeight="1">
      <c r="C499" s="6"/>
    </row>
    <row r="500" ht="15.75" customHeight="1">
      <c r="C500" s="6"/>
    </row>
    <row r="501" ht="15.75" customHeight="1">
      <c r="C501" s="6"/>
    </row>
    <row r="502" ht="15.75" customHeight="1">
      <c r="C502" s="6"/>
    </row>
    <row r="503" ht="15.75" customHeight="1">
      <c r="C503" s="6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</sheetData>
  <dataValidations>
    <dataValidation type="list" allowBlank="1" sqref="C5:C804">
      <formula1>Lists!$A$2:$A$5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